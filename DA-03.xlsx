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r6wa\OneDrive\سطح المكتب\Data Analyst\Excel\DA Camp _ Task1\"/>
    </mc:Choice>
  </mc:AlternateContent>
  <xr:revisionPtr revIDLastSave="0" documentId="13_ncr:1_{EE223E0F-0831-4E0D-8208-FE4760381346}" xr6:coauthVersionLast="47" xr6:coauthVersionMax="47" xr10:uidLastSave="{00000000-0000-0000-0000-000000000000}"/>
  <bookViews>
    <workbookView xWindow="-108" yWindow="-108" windowWidth="23256" windowHeight="12456" xr2:uid="{1BCBC38A-8367-48DA-B73F-FDFB5C020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C14" i="1"/>
  <c r="D14" i="1"/>
  <c r="E14" i="1"/>
  <c r="C13" i="1"/>
  <c r="D13" i="1"/>
  <c r="E13" i="1"/>
  <c r="C12" i="1"/>
  <c r="C7" i="1"/>
  <c r="C11" i="1" s="1"/>
  <c r="D12" i="1"/>
  <c r="E12" i="1"/>
  <c r="C10" i="1"/>
  <c r="C8" i="1"/>
  <c r="D10" i="1"/>
  <c r="C9" i="1"/>
  <c r="E5" i="1"/>
  <c r="E6" i="1"/>
  <c r="D2" i="1"/>
  <c r="E2" i="1" s="1"/>
  <c r="E10" i="1" s="1"/>
  <c r="D3" i="1"/>
  <c r="E3" i="1" s="1"/>
  <c r="D4" i="1"/>
  <c r="E4" i="1" s="1"/>
  <c r="D5" i="1"/>
  <c r="D6" i="1"/>
  <c r="E8" i="1" l="1"/>
  <c r="D8" i="1"/>
  <c r="E9" i="1"/>
  <c r="D9" i="1"/>
  <c r="E7" i="1"/>
  <c r="E11" i="1" s="1"/>
  <c r="D7" i="1"/>
  <c r="D11" i="1" s="1"/>
</calcChain>
</file>

<file path=xl/sharedStrings.xml><?xml version="1.0" encoding="utf-8"?>
<sst xmlns="http://schemas.openxmlformats.org/spreadsheetml/2006/main" count="19" uniqueCount="19">
  <si>
    <t>احمد</t>
  </si>
  <si>
    <t>محمد</t>
  </si>
  <si>
    <t>سعيد عبد الرحمن</t>
  </si>
  <si>
    <t>عبد الله عمر</t>
  </si>
  <si>
    <t>عمر خالد</t>
  </si>
  <si>
    <t>ID</t>
  </si>
  <si>
    <t>Name</t>
  </si>
  <si>
    <t>Salary</t>
  </si>
  <si>
    <t>Taxes</t>
  </si>
  <si>
    <t>Profit</t>
  </si>
  <si>
    <t>الإجمالي:</t>
  </si>
  <si>
    <t>أكبر قيمة:</t>
  </si>
  <si>
    <t>أصغر قيمة:</t>
  </si>
  <si>
    <t>عدد القيم:</t>
  </si>
  <si>
    <t>المتوسط:</t>
  </si>
  <si>
    <t>أكثر قيمة تكرارا:</t>
  </si>
  <si>
    <t>الوسيط:</t>
  </si>
  <si>
    <t>الانحراف المعياري:</t>
  </si>
  <si>
    <t>التباين: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</si>
</sst>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F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F61"/>
      <color rgb="FFE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E6F0-14C8-4A4D-847B-582ECE93830B}">
  <dimension ref="A1:E15"/>
  <sheetViews>
    <sheetView rightToLeft="1" tabSelected="1" zoomScaleNormal="100" workbookViewId="0">
      <selection activeCell="C16" sqref="C16"/>
    </sheetView>
  </sheetViews>
  <sheetFormatPr defaultRowHeight="13.8" x14ac:dyDescent="0.25"/>
  <cols>
    <col min="1" max="1" width="2.5" style="1" bestFit="1" customWidth="1"/>
    <col min="2" max="2" width="12.296875" style="1" bestFit="1" customWidth="1"/>
    <col min="3" max="3" width="8" style="1" bestFit="1" customWidth="1"/>
    <col min="4" max="5" width="10.8984375" style="1" bestFit="1" customWidth="1"/>
    <col min="6" max="16384" width="8.796875" style="1"/>
  </cols>
  <sheetData>
    <row r="1" spans="1:5" s="3" customFormat="1" ht="27.6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s="1">
        <v>1</v>
      </c>
      <c r="B2" s="1" t="s">
        <v>0</v>
      </c>
      <c r="C2" s="1">
        <v>2000</v>
      </c>
      <c r="D2" s="1">
        <f>C2*0.1</f>
        <v>200</v>
      </c>
      <c r="E2" s="1">
        <f>C2-D2</f>
        <v>1800</v>
      </c>
    </row>
    <row r="3" spans="1:5" x14ac:dyDescent="0.25">
      <c r="A3" s="1">
        <v>2</v>
      </c>
      <c r="B3" s="1" t="s">
        <v>1</v>
      </c>
      <c r="C3" s="1">
        <v>2000</v>
      </c>
      <c r="D3" s="1">
        <f t="shared" ref="D3:D6" si="0">C3*0.1</f>
        <v>200</v>
      </c>
      <c r="E3" s="1">
        <f t="shared" ref="E3:E6" si="1">C3-D3</f>
        <v>1800</v>
      </c>
    </row>
    <row r="4" spans="1:5" x14ac:dyDescent="0.25">
      <c r="A4" s="1">
        <v>3</v>
      </c>
      <c r="B4" s="1" t="s">
        <v>4</v>
      </c>
      <c r="C4" s="1">
        <v>3000</v>
      </c>
      <c r="D4" s="1">
        <f t="shared" si="0"/>
        <v>300</v>
      </c>
      <c r="E4" s="1">
        <f t="shared" si="1"/>
        <v>2700</v>
      </c>
    </row>
    <row r="5" spans="1:5" x14ac:dyDescent="0.25">
      <c r="A5" s="1">
        <v>4</v>
      </c>
      <c r="B5" s="1" t="s">
        <v>2</v>
      </c>
      <c r="C5" s="1">
        <v>4000</v>
      </c>
      <c r="D5" s="1">
        <f t="shared" si="0"/>
        <v>400</v>
      </c>
      <c r="E5" s="1">
        <f t="shared" si="1"/>
        <v>3600</v>
      </c>
    </row>
    <row r="6" spans="1:5" x14ac:dyDescent="0.25">
      <c r="A6" s="1">
        <v>5</v>
      </c>
      <c r="B6" s="1" t="s">
        <v>3</v>
      </c>
      <c r="C6" s="1">
        <v>5000</v>
      </c>
      <c r="D6" s="1">
        <f t="shared" si="0"/>
        <v>500</v>
      </c>
      <c r="E6" s="1">
        <f t="shared" si="1"/>
        <v>4500</v>
      </c>
    </row>
    <row r="7" spans="1:5" ht="14.4" x14ac:dyDescent="0.25">
      <c r="B7" s="4" t="s">
        <v>10</v>
      </c>
      <c r="C7" s="3">
        <f>SUM(C2:C6)</f>
        <v>16000</v>
      </c>
      <c r="D7" s="3">
        <f t="shared" ref="D7:E7" si="2">SUM(D2:D6)</f>
        <v>1600</v>
      </c>
      <c r="E7" s="3">
        <f t="shared" si="2"/>
        <v>14400</v>
      </c>
    </row>
    <row r="8" spans="1:5" ht="14.4" x14ac:dyDescent="0.25">
      <c r="B8" s="4" t="s">
        <v>11</v>
      </c>
      <c r="C8" s="3">
        <f>MAX(C2:C6)</f>
        <v>5000</v>
      </c>
      <c r="D8" s="3">
        <f t="shared" ref="D8:E8" si="3">MAX(D2:D6)</f>
        <v>500</v>
      </c>
      <c r="E8" s="3">
        <f t="shared" si="3"/>
        <v>4500</v>
      </c>
    </row>
    <row r="9" spans="1:5" ht="14.4" x14ac:dyDescent="0.25">
      <c r="B9" s="4" t="s">
        <v>12</v>
      </c>
      <c r="C9" s="3">
        <f>MIN(C2:C6)</f>
        <v>2000</v>
      </c>
      <c r="D9" s="3">
        <f t="shared" ref="D9:E9" si="4">MIN(D2:D6)</f>
        <v>200</v>
      </c>
      <c r="E9" s="3">
        <f t="shared" si="4"/>
        <v>1800</v>
      </c>
    </row>
    <row r="10" spans="1:5" ht="14.4" x14ac:dyDescent="0.25">
      <c r="B10" s="4" t="s">
        <v>13</v>
      </c>
      <c r="C10" s="3">
        <f>COUNT(C2:C6)</f>
        <v>5</v>
      </c>
      <c r="D10" s="3">
        <f t="shared" ref="D10:E10" si="5">COUNT(D2:D6)</f>
        <v>5</v>
      </c>
      <c r="E10" s="3">
        <f t="shared" si="5"/>
        <v>5</v>
      </c>
    </row>
    <row r="11" spans="1:5" ht="14.4" x14ac:dyDescent="0.25">
      <c r="B11" s="4" t="s">
        <v>14</v>
      </c>
      <c r="C11" s="3">
        <f>C7/C10</f>
        <v>3200</v>
      </c>
      <c r="D11" s="3">
        <f>D7/D10</f>
        <v>320</v>
      </c>
      <c r="E11" s="3">
        <f>E7/E10</f>
        <v>2880</v>
      </c>
    </row>
    <row r="12" spans="1:5" ht="14.4" x14ac:dyDescent="0.25">
      <c r="B12" s="4" t="s">
        <v>15</v>
      </c>
      <c r="C12" s="3">
        <f>MODE(C2:C6)</f>
        <v>2000</v>
      </c>
      <c r="D12" s="3">
        <f t="shared" ref="D12:E12" si="6">MODE(D2:D6)</f>
        <v>200</v>
      </c>
      <c r="E12" s="3">
        <f t="shared" si="6"/>
        <v>1800</v>
      </c>
    </row>
    <row r="13" spans="1:5" ht="14.4" x14ac:dyDescent="0.25">
      <c r="B13" s="4" t="s">
        <v>16</v>
      </c>
      <c r="C13" s="3">
        <f>MEDIAN(C2:C6)</f>
        <v>3000</v>
      </c>
      <c r="D13" s="3">
        <f t="shared" ref="D13:E13" si="7">MEDIAN(D2:D6)</f>
        <v>300</v>
      </c>
      <c r="E13" s="3">
        <f t="shared" si="7"/>
        <v>2700</v>
      </c>
    </row>
    <row r="14" spans="1:5" ht="14.4" x14ac:dyDescent="0.25">
      <c r="B14" s="4" t="s">
        <v>17</v>
      </c>
      <c r="C14" s="3">
        <f>_xlfn.STDEV.S(C2:C6)</f>
        <v>1303.8404810405298</v>
      </c>
      <c r="D14" s="3">
        <f t="shared" ref="D14:E14" si="8">_xlfn.STDEV.S(D2:D6)</f>
        <v>130.38404810405297</v>
      </c>
      <c r="E14" s="3">
        <f t="shared" si="8"/>
        <v>1173.4564329364769</v>
      </c>
    </row>
    <row r="15" spans="1:5" ht="14.4" x14ac:dyDescent="0.25">
      <c r="B15" s="4" t="s">
        <v>18</v>
      </c>
      <c r="C15" s="3">
        <f>_xlfn.VAR.S(C2:C6)</f>
        <v>1700000</v>
      </c>
      <c r="D15" s="3">
        <f t="shared" ref="D15:E15" si="9">_xlfn.VAR.S(D2:D6)</f>
        <v>17000</v>
      </c>
      <c r="E15" s="3">
        <f t="shared" si="9"/>
        <v>1377000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225802-1f63-4e08-8e4b-b0e4f23b38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856A9ED0EA5E4AAB072C1A88EB6BA8" ma:contentTypeVersion="6" ma:contentTypeDescription="Create a new document." ma:contentTypeScope="" ma:versionID="a8e665463d10fe2435498ad9d4716127">
  <xsd:schema xmlns:xsd="http://www.w3.org/2001/XMLSchema" xmlns:xs="http://www.w3.org/2001/XMLSchema" xmlns:p="http://schemas.microsoft.com/office/2006/metadata/properties" xmlns:ns3="01225802-1f63-4e08-8e4b-b0e4f23b38f9" targetNamespace="http://schemas.microsoft.com/office/2006/metadata/properties" ma:root="true" ma:fieldsID="bbbae219f43698cd52c06fb953f90257" ns3:_="">
    <xsd:import namespace="01225802-1f63-4e08-8e4b-b0e4f23b38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25802-1f63-4e08-8e4b-b0e4f23b38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B404E2-FBE5-49EF-B474-A354D2FB619C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01225802-1f63-4e08-8e4b-b0e4f23b38f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198589-FB7A-4E46-878E-A82994F40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464410-8235-4729-B019-B8E6EBEBB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225802-1f63-4e08-8e4b-b0e4f23b38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3a8d02d-59f3-416a-8231-b3080e639cad}" enabled="0" method="" siteId="{13a8d02d-59f3-416a-8231-b3080e639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ANFAL BAHAA S DINDINI</dc:creator>
  <cp:lastModifiedBy>ANFAL BAHAA S DINDINI</cp:lastModifiedBy>
  <dcterms:created xsi:type="dcterms:W3CDTF">2025-11-06T14:43:34Z</dcterms:created>
  <dcterms:modified xsi:type="dcterms:W3CDTF">2025-11-30T18:53:42Z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0x01010042856A9ED0EA5E4AAB072C1A88EB6BA8</vt:lpwstr>
  </property>
</Properties>
</file>